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al\OneDrive\Documentos\"/>
    </mc:Choice>
  </mc:AlternateContent>
  <xr:revisionPtr revIDLastSave="0" documentId="13_ncr:1_{BDC6D47F-D458-4DC4-948F-5A483D63A840}" xr6:coauthVersionLast="47" xr6:coauthVersionMax="47" xr10:uidLastSave="{00000000-0000-0000-0000-000000000000}"/>
  <bookViews>
    <workbookView xWindow="-110" yWindow="-110" windowWidth="19420" windowHeight="11020" tabRatio="500" firstSheet="5" activeTab="8" xr2:uid="{00000000-000D-0000-FFFF-FFFF00000000}"/>
  </bookViews>
  <sheets>
    <sheet name="MER" sheetId="1" r:id="rId1"/>
    <sheet name="Entidades" sheetId="2" r:id="rId2"/>
    <sheet name="usuarios" sheetId="3" r:id="rId3"/>
    <sheet name="Valores" sheetId="4" state="hidden" r:id="rId4"/>
    <sheet name="productos" sheetId="5" r:id="rId5"/>
    <sheet name="bodegas" sheetId="6" r:id="rId6"/>
    <sheet name="clientes" sheetId="8" r:id="rId7"/>
    <sheet name="pedidos" sheetId="9" r:id="rId8"/>
    <sheet name="envios" sheetId="10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0" l="1"/>
  <c r="B2" i="10"/>
  <c r="A2" i="10"/>
  <c r="B3" i="9"/>
  <c r="B2" i="9"/>
  <c r="A2" i="9"/>
  <c r="B3" i="8"/>
  <c r="B2" i="8"/>
  <c r="A2" i="8"/>
  <c r="B3" i="6"/>
  <c r="B2" i="6"/>
  <c r="A2" i="6"/>
  <c r="B3" i="5"/>
  <c r="B2" i="5"/>
  <c r="A2" i="5"/>
  <c r="B3" i="3"/>
  <c r="B2" i="3"/>
  <c r="A2" i="3"/>
</calcChain>
</file>

<file path=xl/sharedStrings.xml><?xml version="1.0" encoding="utf-8"?>
<sst xmlns="http://schemas.openxmlformats.org/spreadsheetml/2006/main" count="546" uniqueCount="126">
  <si>
    <t>Entidad</t>
  </si>
  <si>
    <t>Desripción</t>
  </si>
  <si>
    <t>usuarios</t>
  </si>
  <si>
    <t>productos</t>
  </si>
  <si>
    <t>bodegas</t>
  </si>
  <si>
    <t>clientes</t>
  </si>
  <si>
    <t>pedidos</t>
  </si>
  <si>
    <t>envios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</si>
  <si>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</si>
  <si>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</si>
  <si>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</si>
  <si>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</si>
  <si>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</si>
  <si>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</si>
  <si>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</si>
  <si>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</si>
  <si>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</si>
  <si>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</si>
  <si>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</si>
  <si>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</si>
  <si>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</si>
  <si>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</si>
  <si>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</si>
  <si>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</si>
  <si>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</si>
  <si>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</si>
  <si>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</si>
  <si>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</si>
  <si>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</si>
  <si>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</si>
  <si>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</si>
  <si>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</si>
  <si>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</si>
  <si>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</si>
  <si>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INT</t>
  </si>
  <si>
    <t>SI</t>
  </si>
  <si>
    <t>NO</t>
  </si>
  <si>
    <t>PK</t>
  </si>
  <si>
    <t>SERIAL PRIMARY KEY.</t>
  </si>
  <si>
    <t>nombre</t>
  </si>
  <si>
    <t>VARCHAR</t>
  </si>
  <si>
    <t>Nombre completo.</t>
  </si>
  <si>
    <t>nombre_usuario</t>
  </si>
  <si>
    <t>usuarios_nombre_usuario_key</t>
  </si>
  <si>
    <t>login</t>
  </si>
  <si>
    <t>Usuario de acceso, UNIQUE.</t>
  </si>
  <si>
    <t>contrasena</t>
  </si>
  <si>
    <t>hash</t>
  </si>
  <si>
    <t>Almacenamiento obligatorio mediante hash criptográfico Bcrypt con Salt (nunca texto plano). 60 caracteres es el estándar físico de un hash Bcrypt completo (algoritmo + costo + salt + hash).</t>
  </si>
  <si>
    <t>rol</t>
  </si>
  <si>
    <t>creado_en</t>
  </si>
  <si>
    <t>Date</t>
  </si>
  <si>
    <t>TIMESTAMP. DEFAULT NOW().</t>
  </si>
  <si>
    <t>Relación</t>
  </si>
  <si>
    <t>Tipo relación</t>
  </si>
  <si>
    <t>Estado</t>
  </si>
  <si>
    <t>TipoIndice</t>
  </si>
  <si>
    <t>Necesita de</t>
  </si>
  <si>
    <t>Asociación</t>
  </si>
  <si>
    <t>ASC</t>
  </si>
  <si>
    <t>Es usada por</t>
  </si>
  <si>
    <t>DESC</t>
  </si>
  <si>
    <t>productos_nombre_key</t>
  </si>
  <si>
    <t>Nombre comercial, UNIQUE (restricción agregada en arreglos.sql).</t>
  </si>
  <si>
    <t>precio</t>
  </si>
  <si>
    <t>NUMERIC</t>
  </si>
  <si>
    <t>Precio unitario en USD.</t>
  </si>
  <si>
    <t>disponible</t>
  </si>
  <si>
    <t>Otro</t>
  </si>
  <si>
    <t>BOOLEAN</t>
  </si>
  <si>
    <t>borrado lógico</t>
  </si>
  <si>
    <t>Nombre o identificador de la bodega. NOT NULL.</t>
  </si>
  <si>
    <t>ciudad</t>
  </si>
  <si>
    <t>Ciudad donde está ubicada la bodega. NOT NULL.</t>
  </si>
  <si>
    <t>Nombre del destinatario (antes pedidos.nombre_destinatario).</t>
  </si>
  <si>
    <t>telefono</t>
  </si>
  <si>
    <t>Teléfono de contacto (antes pedidos.telefono).</t>
  </si>
  <si>
    <t>numero_pedido</t>
  </si>
  <si>
    <t>pedidos_numero_pedido_key</t>
  </si>
  <si>
    <t>N.º de pedido</t>
  </si>
  <si>
    <t>usuario_id</t>
  </si>
  <si>
    <t>vendedor</t>
  </si>
  <si>
    <t>cliente_id</t>
  </si>
  <si>
    <t>Cliente</t>
  </si>
  <si>
    <t>notas</t>
  </si>
  <si>
    <t>TEXT</t>
  </si>
  <si>
    <t>Instrucciones de entrega, opcional.</t>
  </si>
  <si>
    <t>metodo_pago</t>
  </si>
  <si>
    <t>Pago</t>
  </si>
  <si>
    <t>referencia_pago</t>
  </si>
  <si>
    <t>Dato de Pago embebido, solo para transferencia.</t>
  </si>
  <si>
    <t>total</t>
  </si>
  <si>
    <t>Total cobrado.</t>
  </si>
  <si>
    <t>fecha_pedido</t>
  </si>
  <si>
    <t>pedido_id</t>
  </si>
  <si>
    <t>bodega_origen_id</t>
  </si>
  <si>
    <t>REFERENCES bodegas(id). Bodega desde donde sale la mercancía.</t>
  </si>
  <si>
    <t>direccion_entrega</t>
  </si>
  <si>
    <t>ciudad_entrega</t>
  </si>
  <si>
    <t>transportadora</t>
  </si>
  <si>
    <t>numero_guia</t>
  </si>
  <si>
    <t>envios_numero_guia_key</t>
  </si>
  <si>
    <t>estado_envio</t>
  </si>
  <si>
    <t xml:space="preserve">MER — Castaño Living </t>
  </si>
  <si>
    <t>Personas que inician sesión en el sistema (vendedores y administrador)</t>
  </si>
  <si>
    <t>Catálogo de muebles que se pueden vender.</t>
  </si>
  <si>
    <t>Puntos físicos donde se almacenan los productos.</t>
  </si>
  <si>
    <t>Persona que recibe el pedido.</t>
  </si>
  <si>
    <t xml:space="preserve">Ventas confirmadas. </t>
  </si>
  <si>
    <t xml:space="preserve">Logística de despacho de un pedido: de qué bodega sale, a dónde va, con qué transportadora y en qué estado va. </t>
  </si>
  <si>
    <t>admin o vendedor. DEFAULT  vendedor</t>
  </si>
  <si>
    <t xml:space="preserve">DEFAULT TRUE. Uso mandatorio para Borrado Lógico: un producto ya vendido nunca se elimina físicamente </t>
  </si>
  <si>
    <t xml:space="preserve">Puntos físicos donde se almacenan y se fabrican los productos. </t>
  </si>
  <si>
    <t xml:space="preserve">Persona que recibe el pedido. </t>
  </si>
  <si>
    <t xml:space="preserve">Catálogo de muebles que se pueden vender. </t>
  </si>
  <si>
    <t xml:space="preserve">FK real: REFERENCES usuarios(id) ON DELETE RESTRICT. </t>
  </si>
  <si>
    <t xml:space="preserve">FK real: REFERENCES clientes(id) ON DELETE RESTRICT. </t>
  </si>
  <si>
    <t>Dato de Pago embebido. Efectivo</t>
  </si>
  <si>
    <t xml:space="preserve">REFERENCES pedidos(id) ON DELETE CASCADE. Un pedido admite más de un envío </t>
  </si>
  <si>
    <t>Antes pedidos. Direccion; se movió aquí junto con el resto de la logística de despacho.</t>
  </si>
  <si>
    <t>Antes pedidos. Ciudad.</t>
  </si>
  <si>
    <t>Puede no conocerse todavía mientras el envío está en preparacion.</t>
  </si>
  <si>
    <t>Solo existe una vez despachado y si es con una transportista de terceros</t>
  </si>
  <si>
    <t>DEFAULT preparacion. Ciclo propio de envío (preparacion - despachado - entregado), independiente del estado del pedido.</t>
  </si>
  <si>
    <t xml:space="preserve">Autonumerado </t>
  </si>
  <si>
    <t>Ventas confirmadas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</si>
</sst>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CFF"/>
        <bgColor rgb="FFD0CECE"/>
      </patternFill>
    </fill>
    <fill>
      <patternFill patternType="solid">
        <fgColor theme="2" tint="-9.9978637043366805E-2"/>
        <bgColor rgb="FFFFCCFF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7" xfId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12</xdr:col>
      <xdr:colOff>32040</xdr:colOff>
      <xdr:row>33</xdr:row>
      <xdr:rowOff>56880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71680"/>
          <a:ext cx="10600920" cy="5771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"/>
  <sheetViews>
    <sheetView zoomScaleNormal="100" workbookViewId="0">
      <selection activeCell="D1" sqref="D1"/>
    </sheetView>
  </sheetViews>
  <sheetFormatPr defaultColWidth="11.36328125" defaultRowHeight="14.5" x14ac:dyDescent="0.35"/>
  <cols>
    <col min="1" max="1" width="24.26953125" style="1" customWidth="1"/>
    <col min="2" max="16384" width="11.36328125" style="1"/>
  </cols>
  <sheetData>
    <row r="2" spans="1:1" x14ac:dyDescent="0.35">
      <c r="A2" s="1" t="s">
        <v>103</v>
      </c>
    </row>
  </sheetData>
  <pageMargins left="0.7" right="0.7" top="0.75" bottom="0.7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7"/>
  <sheetViews>
    <sheetView zoomScaleNormal="100" workbookViewId="0">
      <selection activeCell="A8" sqref="A8:XFD8"/>
    </sheetView>
  </sheetViews>
  <sheetFormatPr defaultColWidth="10.6328125" defaultRowHeight="14.5" x14ac:dyDescent="0.35"/>
  <cols>
    <col min="1" max="1" width="12.1796875" bestFit="1" customWidth="1"/>
    <col min="2" max="2" width="186.7265625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4" t="s">
        <v>2</v>
      </c>
      <c r="B2" s="5" t="s">
        <v>104</v>
      </c>
    </row>
    <row r="3" spans="1:2" x14ac:dyDescent="0.35">
      <c r="A3" s="6" t="s">
        <v>3</v>
      </c>
      <c r="B3" s="5" t="s">
        <v>105</v>
      </c>
    </row>
    <row r="4" spans="1:2" x14ac:dyDescent="0.35">
      <c r="A4" s="6" t="s">
        <v>4</v>
      </c>
      <c r="B4" s="5" t="s">
        <v>106</v>
      </c>
    </row>
    <row r="5" spans="1:2" x14ac:dyDescent="0.35">
      <c r="A5" s="6" t="s">
        <v>5</v>
      </c>
      <c r="B5" s="5" t="s">
        <v>107</v>
      </c>
    </row>
    <row r="6" spans="1:2" x14ac:dyDescent="0.35">
      <c r="A6" s="6" t="s">
        <v>6</v>
      </c>
      <c r="B6" s="5" t="s">
        <v>108</v>
      </c>
    </row>
    <row r="7" spans="1:2" ht="15.75" customHeight="1" thickBot="1" x14ac:dyDescent="0.4">
      <c r="A7" s="7" t="s">
        <v>7</v>
      </c>
      <c r="B7" s="8" t="s">
        <v>109</v>
      </c>
    </row>
  </sheetData>
  <hyperlinks>
    <hyperlink ref="A2" location="EntidaUno!A1" display="usuarios" xr:uid="{00000000-0004-0000-01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2"/>
  <sheetViews>
    <sheetView zoomScaleNormal="100" workbookViewId="0">
      <pane ySplit="1" topLeftCell="A2" activePane="bottomLeft" state="frozen"/>
      <selection activeCell="O1" sqref="O1"/>
      <selection pane="bottomLeft" activeCell="A22" sqref="A22"/>
    </sheetView>
  </sheetViews>
  <sheetFormatPr defaultColWidth="19.7265625" defaultRowHeight="14.5" x14ac:dyDescent="0.35"/>
  <cols>
    <col min="1" max="1" width="61.36328125" style="9" bestFit="1" customWidth="1"/>
    <col min="2" max="2" width="17.54296875" style="9" customWidth="1"/>
    <col min="3" max="3" width="12.54296875" style="9" customWidth="1"/>
    <col min="4" max="4" width="38" style="9" customWidth="1"/>
    <col min="5" max="5" width="39.54296875" style="9" customWidth="1"/>
    <col min="6" max="6" width="26.54296875" style="9" customWidth="1"/>
    <col min="7" max="7" width="22.26953125" style="9" customWidth="1"/>
    <col min="8" max="8" width="46.54296875" style="9" customWidth="1"/>
    <col min="9" max="9" width="23.7265625" style="9" customWidth="1"/>
    <col min="10" max="10" width="11.26953125" style="9" customWidth="1"/>
    <col min="11" max="11" width="15.36328125" style="9" customWidth="1"/>
    <col min="12" max="12" width="62.7265625" style="9" customWidth="1"/>
    <col min="13" max="13" width="58.81640625" style="9" customWidth="1"/>
    <col min="14" max="14" width="62.36328125" style="9" customWidth="1"/>
    <col min="15" max="15" width="58.54296875" style="9" customWidth="1"/>
    <col min="16" max="16" width="59.81640625" style="9" customWidth="1"/>
    <col min="17" max="17" width="7.7265625" style="9" customWidth="1"/>
    <col min="18" max="18" width="56.26953125" style="9" customWidth="1"/>
    <col min="19" max="19" width="8.08984375" style="9" customWidth="1"/>
    <col min="20" max="20" width="29.26953125" style="9" customWidth="1"/>
    <col min="21" max="16384" width="19.7265625" style="9"/>
  </cols>
  <sheetData>
    <row r="1" spans="1:20" ht="15.75" customHeight="1" x14ac:dyDescent="0.35">
      <c r="A1" s="22" t="s">
        <v>8</v>
      </c>
      <c r="B1" s="22"/>
      <c r="C1" s="22"/>
      <c r="D1" s="22"/>
      <c r="E1" s="22"/>
    </row>
    <row r="2" spans="1:20" ht="13.5" customHeight="1" x14ac:dyDescent="0.35">
      <c r="A2" s="10" t="str">
        <f>Entidades!A2</f>
        <v>usuarios</v>
      </c>
      <c r="B2" s="23" t="str">
        <f>Entidades!A2</f>
        <v>usuarios</v>
      </c>
      <c r="C2" s="23"/>
      <c r="D2" s="23"/>
      <c r="E2" s="23"/>
    </row>
    <row r="3" spans="1:20" ht="15.75" customHeight="1" x14ac:dyDescent="0.35">
      <c r="A3" s="11" t="s">
        <v>104</v>
      </c>
      <c r="B3" s="24" t="str">
        <f>Entidades!B2</f>
        <v>Personas que inician sesión en el sistema (vendedores y administrador)</v>
      </c>
      <c r="C3" s="24"/>
      <c r="D3" s="24"/>
      <c r="E3" s="24"/>
    </row>
    <row r="4" spans="1:20" ht="15.75" customHeight="1" x14ac:dyDescent="0.35">
      <c r="A4" s="2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2" customFormat="1" ht="15" customHeight="1" x14ac:dyDescent="0.35">
      <c r="A5" s="26" t="s">
        <v>10</v>
      </c>
      <c r="B5" s="20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0" t="s">
        <v>16</v>
      </c>
      <c r="H5" s="27" t="s">
        <v>17</v>
      </c>
      <c r="I5" s="20" t="s">
        <v>18</v>
      </c>
      <c r="J5" s="20"/>
      <c r="K5" s="20"/>
      <c r="L5" s="20" t="s">
        <v>19</v>
      </c>
      <c r="M5" s="20"/>
      <c r="N5" s="20" t="s">
        <v>20</v>
      </c>
      <c r="O5" s="20"/>
      <c r="P5" s="20" t="s">
        <v>21</v>
      </c>
      <c r="Q5" s="20"/>
      <c r="R5" s="20"/>
      <c r="S5" s="20" t="s">
        <v>22</v>
      </c>
      <c r="T5" s="21" t="s">
        <v>23</v>
      </c>
    </row>
    <row r="6" spans="1:20" s="12" customFormat="1" x14ac:dyDescent="0.35">
      <c r="A6" s="26"/>
      <c r="B6" s="20"/>
      <c r="C6" s="20"/>
      <c r="D6" s="20"/>
      <c r="E6" s="20"/>
      <c r="F6" s="20"/>
      <c r="G6" s="20"/>
      <c r="H6" s="20"/>
      <c r="I6" s="13" t="s">
        <v>24</v>
      </c>
      <c r="J6" s="13" t="s">
        <v>0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20"/>
      <c r="T6" s="21"/>
    </row>
    <row r="7" spans="1:20" x14ac:dyDescent="0.35">
      <c r="A7" s="14" t="s">
        <v>33</v>
      </c>
      <c r="B7" s="15" t="s">
        <v>34</v>
      </c>
      <c r="C7" s="15"/>
      <c r="D7" s="15"/>
      <c r="E7" s="15"/>
      <c r="F7" s="15" t="s">
        <v>35</v>
      </c>
      <c r="G7" s="15" t="s">
        <v>35</v>
      </c>
      <c r="H7" s="15" t="s">
        <v>35</v>
      </c>
      <c r="I7" s="15" t="s">
        <v>36</v>
      </c>
      <c r="J7" s="15"/>
      <c r="K7" s="15"/>
      <c r="L7" s="15" t="s">
        <v>36</v>
      </c>
      <c r="M7" s="15"/>
      <c r="N7" s="15" t="s">
        <v>36</v>
      </c>
      <c r="O7" s="15"/>
      <c r="P7" s="15" t="s">
        <v>36</v>
      </c>
      <c r="Q7" s="15"/>
      <c r="R7" s="15"/>
      <c r="S7" s="15" t="s">
        <v>37</v>
      </c>
      <c r="T7" s="16" t="s">
        <v>38</v>
      </c>
    </row>
    <row r="8" spans="1:20" x14ac:dyDescent="0.35">
      <c r="A8" s="14" t="s">
        <v>39</v>
      </c>
      <c r="B8" s="15" t="s">
        <v>40</v>
      </c>
      <c r="C8" s="15">
        <v>100</v>
      </c>
      <c r="D8" s="15"/>
      <c r="E8" s="15"/>
      <c r="F8" s="15" t="s">
        <v>36</v>
      </c>
      <c r="G8" s="15" t="s">
        <v>35</v>
      </c>
      <c r="H8" s="15" t="s">
        <v>36</v>
      </c>
      <c r="I8" s="15" t="s">
        <v>36</v>
      </c>
      <c r="J8" s="15"/>
      <c r="K8" s="15"/>
      <c r="L8" s="15" t="s">
        <v>36</v>
      </c>
      <c r="M8" s="15"/>
      <c r="N8" s="15" t="s">
        <v>36</v>
      </c>
      <c r="O8" s="15"/>
      <c r="P8" s="15" t="s">
        <v>36</v>
      </c>
      <c r="Q8" s="15"/>
      <c r="R8" s="15"/>
      <c r="S8" s="15"/>
      <c r="T8" s="16" t="s">
        <v>41</v>
      </c>
    </row>
    <row r="9" spans="1:20" x14ac:dyDescent="0.35">
      <c r="A9" s="14" t="s">
        <v>42</v>
      </c>
      <c r="B9" s="15" t="s">
        <v>40</v>
      </c>
      <c r="C9" s="15">
        <v>50</v>
      </c>
      <c r="D9" s="15"/>
      <c r="E9" s="15"/>
      <c r="F9" s="15" t="s">
        <v>36</v>
      </c>
      <c r="G9" s="15" t="s">
        <v>35</v>
      </c>
      <c r="H9" s="15" t="s">
        <v>36</v>
      </c>
      <c r="I9" s="15" t="s">
        <v>36</v>
      </c>
      <c r="J9" s="15"/>
      <c r="K9" s="15"/>
      <c r="L9" s="15" t="s">
        <v>35</v>
      </c>
      <c r="M9" s="15" t="s">
        <v>43</v>
      </c>
      <c r="N9" s="15" t="s">
        <v>36</v>
      </c>
      <c r="O9" s="15"/>
      <c r="P9" s="15" t="s">
        <v>36</v>
      </c>
      <c r="Q9" s="15"/>
      <c r="R9" s="15"/>
      <c r="S9" s="15" t="s">
        <v>44</v>
      </c>
      <c r="T9" s="16" t="s">
        <v>45</v>
      </c>
    </row>
    <row r="10" spans="1:20" ht="15.75" customHeight="1" x14ac:dyDescent="0.35">
      <c r="A10" s="17" t="s">
        <v>46</v>
      </c>
      <c r="B10" s="18" t="s">
        <v>40</v>
      </c>
      <c r="C10" s="18">
        <v>60</v>
      </c>
      <c r="D10" s="18"/>
      <c r="E10" s="18"/>
      <c r="F10" s="18" t="s">
        <v>36</v>
      </c>
      <c r="G10" s="18" t="s">
        <v>35</v>
      </c>
      <c r="H10" s="18" t="s">
        <v>36</v>
      </c>
      <c r="I10" s="18" t="s">
        <v>36</v>
      </c>
      <c r="J10" s="18"/>
      <c r="K10" s="18"/>
      <c r="L10" s="18" t="s">
        <v>36</v>
      </c>
      <c r="M10" s="18"/>
      <c r="N10" s="18" t="s">
        <v>36</v>
      </c>
      <c r="O10" s="18"/>
      <c r="P10" s="18" t="s">
        <v>36</v>
      </c>
      <c r="Q10" s="18"/>
      <c r="R10" s="18"/>
      <c r="S10" s="18" t="s">
        <v>47</v>
      </c>
      <c r="T10" s="19" t="s">
        <v>48</v>
      </c>
    </row>
    <row r="11" spans="1:20" x14ac:dyDescent="0.35">
      <c r="A11" s="17" t="s">
        <v>49</v>
      </c>
      <c r="B11" s="18" t="s">
        <v>40</v>
      </c>
      <c r="C11" s="18">
        <v>20</v>
      </c>
      <c r="D11" s="18"/>
      <c r="E11" s="18"/>
      <c r="F11" s="18" t="s">
        <v>36</v>
      </c>
      <c r="G11" s="18" t="s">
        <v>36</v>
      </c>
      <c r="H11" s="18" t="s">
        <v>36</v>
      </c>
      <c r="I11" s="18" t="s">
        <v>36</v>
      </c>
      <c r="J11" s="18"/>
      <c r="K11" s="18"/>
      <c r="L11" s="18" t="s">
        <v>36</v>
      </c>
      <c r="M11" s="18"/>
      <c r="N11" s="18" t="s">
        <v>36</v>
      </c>
      <c r="O11" s="18"/>
      <c r="P11" s="18" t="s">
        <v>36</v>
      </c>
      <c r="Q11" s="18"/>
      <c r="R11" s="18"/>
      <c r="S11" s="18"/>
      <c r="T11" s="19" t="s">
        <v>110</v>
      </c>
    </row>
    <row r="12" spans="1:20" x14ac:dyDescent="0.35">
      <c r="A12" s="17" t="s">
        <v>50</v>
      </c>
      <c r="B12" s="18" t="s">
        <v>51</v>
      </c>
      <c r="C12" s="18"/>
      <c r="D12" s="18"/>
      <c r="E12" s="18"/>
      <c r="F12" s="18" t="s">
        <v>36</v>
      </c>
      <c r="G12" s="18" t="s">
        <v>36</v>
      </c>
      <c r="H12" s="18" t="s">
        <v>36</v>
      </c>
      <c r="I12" s="18" t="s">
        <v>36</v>
      </c>
      <c r="J12" s="18"/>
      <c r="K12" s="18"/>
      <c r="L12" s="18" t="s">
        <v>36</v>
      </c>
      <c r="M12" s="18"/>
      <c r="N12" s="18" t="s">
        <v>36</v>
      </c>
      <c r="O12" s="18"/>
      <c r="P12" s="18" t="s">
        <v>36</v>
      </c>
      <c r="Q12" s="18"/>
      <c r="R12" s="18"/>
      <c r="S12" s="18"/>
      <c r="T12" s="19" t="s">
        <v>52</v>
      </c>
    </row>
  </sheetData>
  <mergeCells count="18">
    <mergeCell ref="N5:O5"/>
    <mergeCell ref="P5:R5"/>
    <mergeCell ref="S5:S6"/>
    <mergeCell ref="T5:T6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</mergeCells>
  <hyperlinks>
    <hyperlink ref="A1" location="Clases!A1" display="&lt;-Volver al inicio" xr:uid="{00000000-0004-0000-02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"/>
  <sheetViews>
    <sheetView zoomScaleNormal="100" workbookViewId="0">
      <selection activeCell="D3" sqref="D3"/>
    </sheetView>
  </sheetViews>
  <sheetFormatPr defaultColWidth="10.6328125" defaultRowHeight="14.5" x14ac:dyDescent="0.35"/>
  <cols>
    <col min="1" max="1" width="12.36328125" customWidth="1"/>
    <col min="2" max="2" width="13.26953125" customWidth="1"/>
  </cols>
  <sheetData>
    <row r="1" spans="1:4" x14ac:dyDescent="0.35">
      <c r="A1" t="s">
        <v>53</v>
      </c>
      <c r="B1" t="s">
        <v>54</v>
      </c>
      <c r="C1" t="s">
        <v>55</v>
      </c>
      <c r="D1" t="s">
        <v>56</v>
      </c>
    </row>
    <row r="2" spans="1:4" x14ac:dyDescent="0.35">
      <c r="A2" t="s">
        <v>57</v>
      </c>
      <c r="B2" t="s">
        <v>58</v>
      </c>
      <c r="C2" t="s">
        <v>35</v>
      </c>
      <c r="D2" t="s">
        <v>59</v>
      </c>
    </row>
    <row r="3" spans="1:4" x14ac:dyDescent="0.35">
      <c r="A3" t="s">
        <v>60</v>
      </c>
      <c r="C3" t="s">
        <v>36</v>
      </c>
      <c r="D3" t="s">
        <v>61</v>
      </c>
    </row>
  </sheetData>
  <pageMargins left="0.7" right="0.7" top="0.75" bottom="0.7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0"/>
  <sheetViews>
    <sheetView zoomScaleNormal="100" workbookViewId="0">
      <selection activeCell="A3" sqref="A3"/>
    </sheetView>
  </sheetViews>
  <sheetFormatPr defaultColWidth="19.7265625" defaultRowHeight="14.5" x14ac:dyDescent="0.35"/>
  <cols>
    <col min="1" max="1" width="38.90625" style="9" bestFit="1" customWidth="1"/>
    <col min="2" max="2" width="17.54296875" style="9" customWidth="1"/>
    <col min="3" max="3" width="12.54296875" style="9" customWidth="1"/>
    <col min="4" max="4" width="38" style="9" customWidth="1"/>
    <col min="5" max="5" width="39.54296875" style="9" customWidth="1"/>
    <col min="6" max="6" width="26.54296875" style="9" customWidth="1"/>
    <col min="7" max="7" width="22.26953125" style="9" customWidth="1"/>
    <col min="8" max="8" width="46.54296875" style="9" customWidth="1"/>
    <col min="9" max="9" width="23.7265625" style="9" customWidth="1"/>
    <col min="10" max="10" width="11.26953125" style="9" customWidth="1"/>
    <col min="11" max="11" width="15.36328125" style="9" customWidth="1"/>
    <col min="12" max="12" width="62.7265625" style="9" customWidth="1"/>
    <col min="13" max="13" width="58.81640625" style="9" customWidth="1"/>
    <col min="14" max="14" width="62.36328125" style="9" customWidth="1"/>
    <col min="15" max="15" width="58.54296875" style="9" customWidth="1"/>
    <col min="16" max="16" width="59.81640625" style="9" customWidth="1"/>
    <col min="17" max="17" width="7.7265625" style="9" customWidth="1"/>
    <col min="18" max="18" width="56.26953125" style="9" customWidth="1"/>
    <col min="19" max="19" width="12.08984375" style="9" bestFit="1" customWidth="1"/>
    <col min="20" max="20" width="158.7265625" style="9" bestFit="1" customWidth="1"/>
    <col min="21" max="16384" width="19.7265625" style="9"/>
  </cols>
  <sheetData>
    <row r="1" spans="1:20" ht="15.75" customHeight="1" x14ac:dyDescent="0.35">
      <c r="A1" s="22" t="s">
        <v>8</v>
      </c>
      <c r="B1" s="22"/>
      <c r="C1" s="22"/>
      <c r="D1" s="22"/>
      <c r="E1" s="22"/>
    </row>
    <row r="2" spans="1:20" ht="13.5" customHeight="1" x14ac:dyDescent="0.35">
      <c r="A2" s="10" t="str">
        <f>Entidades!A3</f>
        <v>productos</v>
      </c>
      <c r="B2" s="23" t="str">
        <f>Entidades!A2</f>
        <v>usuarios</v>
      </c>
      <c r="C2" s="23"/>
      <c r="D2" s="23"/>
      <c r="E2" s="23"/>
    </row>
    <row r="3" spans="1:20" ht="15.75" customHeight="1" x14ac:dyDescent="0.35">
      <c r="A3" s="11" t="s">
        <v>114</v>
      </c>
      <c r="B3" s="24" t="str">
        <f>Entidades!B2</f>
        <v>Personas que inician sesión en el sistema (vendedores y administrador)</v>
      </c>
      <c r="C3" s="24"/>
      <c r="D3" s="24"/>
      <c r="E3" s="24"/>
    </row>
    <row r="4" spans="1:20" ht="15.75" customHeight="1" x14ac:dyDescent="0.35">
      <c r="A4" s="2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2" customFormat="1" ht="15" customHeight="1" x14ac:dyDescent="0.35">
      <c r="A5" s="26" t="s">
        <v>10</v>
      </c>
      <c r="B5" s="20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0" t="s">
        <v>16</v>
      </c>
      <c r="H5" s="27" t="s">
        <v>17</v>
      </c>
      <c r="I5" s="20" t="s">
        <v>18</v>
      </c>
      <c r="J5" s="20"/>
      <c r="K5" s="20"/>
      <c r="L5" s="20" t="s">
        <v>19</v>
      </c>
      <c r="M5" s="20"/>
      <c r="N5" s="20" t="s">
        <v>20</v>
      </c>
      <c r="O5" s="20"/>
      <c r="P5" s="20" t="s">
        <v>21</v>
      </c>
      <c r="Q5" s="20"/>
      <c r="R5" s="20"/>
      <c r="S5" s="20" t="s">
        <v>22</v>
      </c>
      <c r="T5" s="21" t="s">
        <v>23</v>
      </c>
    </row>
    <row r="6" spans="1:20" s="12" customFormat="1" x14ac:dyDescent="0.35">
      <c r="A6" s="26"/>
      <c r="B6" s="20"/>
      <c r="C6" s="20"/>
      <c r="D6" s="20"/>
      <c r="E6" s="20"/>
      <c r="F6" s="20"/>
      <c r="G6" s="20"/>
      <c r="H6" s="20"/>
      <c r="I6" s="13" t="s">
        <v>24</v>
      </c>
      <c r="J6" s="13" t="s">
        <v>0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20"/>
      <c r="T6" s="21"/>
    </row>
    <row r="7" spans="1:20" x14ac:dyDescent="0.35">
      <c r="A7" s="14" t="s">
        <v>33</v>
      </c>
      <c r="B7" s="15" t="s">
        <v>34</v>
      </c>
      <c r="C7" s="15"/>
      <c r="D7" s="15"/>
      <c r="E7" s="15"/>
      <c r="F7" s="15" t="s">
        <v>35</v>
      </c>
      <c r="G7" s="15" t="s">
        <v>35</v>
      </c>
      <c r="H7" s="15" t="s">
        <v>35</v>
      </c>
      <c r="I7" s="15" t="s">
        <v>36</v>
      </c>
      <c r="J7" s="15"/>
      <c r="K7" s="15"/>
      <c r="L7" s="15" t="s">
        <v>36</v>
      </c>
      <c r="M7" s="15"/>
      <c r="N7" s="15" t="s">
        <v>36</v>
      </c>
      <c r="O7" s="15"/>
      <c r="P7" s="15" t="s">
        <v>36</v>
      </c>
      <c r="Q7" s="15"/>
      <c r="R7" s="15"/>
      <c r="S7" s="15" t="s">
        <v>37</v>
      </c>
      <c r="T7" s="16" t="s">
        <v>38</v>
      </c>
    </row>
    <row r="8" spans="1:20" x14ac:dyDescent="0.35">
      <c r="A8" s="14" t="s">
        <v>39</v>
      </c>
      <c r="B8" s="15" t="s">
        <v>40</v>
      </c>
      <c r="C8" s="15">
        <v>100</v>
      </c>
      <c r="D8" s="15"/>
      <c r="E8" s="15"/>
      <c r="F8" s="15" t="s">
        <v>36</v>
      </c>
      <c r="G8" s="15" t="s">
        <v>35</v>
      </c>
      <c r="H8" s="15" t="s">
        <v>36</v>
      </c>
      <c r="I8" s="15" t="s">
        <v>36</v>
      </c>
      <c r="J8" s="15"/>
      <c r="K8" s="15"/>
      <c r="L8" s="15" t="s">
        <v>35</v>
      </c>
      <c r="M8" s="15" t="s">
        <v>62</v>
      </c>
      <c r="N8" s="15" t="s">
        <v>36</v>
      </c>
      <c r="O8" s="15"/>
      <c r="P8" s="15" t="s">
        <v>36</v>
      </c>
      <c r="Q8" s="15"/>
      <c r="R8" s="15"/>
      <c r="S8" s="15"/>
      <c r="T8" s="16" t="s">
        <v>63</v>
      </c>
    </row>
    <row r="9" spans="1:20" x14ac:dyDescent="0.35">
      <c r="A9" s="14" t="s">
        <v>64</v>
      </c>
      <c r="B9" s="15" t="s">
        <v>65</v>
      </c>
      <c r="C9" s="15"/>
      <c r="D9" s="15">
        <v>10</v>
      </c>
      <c r="E9" s="15">
        <v>2</v>
      </c>
      <c r="F9" s="15" t="s">
        <v>36</v>
      </c>
      <c r="G9" s="15" t="s">
        <v>35</v>
      </c>
      <c r="H9" s="15" t="s">
        <v>36</v>
      </c>
      <c r="I9" s="15" t="s">
        <v>36</v>
      </c>
      <c r="J9" s="15"/>
      <c r="K9" s="15"/>
      <c r="L9" s="15" t="s">
        <v>36</v>
      </c>
      <c r="M9" s="15"/>
      <c r="N9" s="15" t="s">
        <v>36</v>
      </c>
      <c r="O9" s="15"/>
      <c r="P9" s="15" t="s">
        <v>36</v>
      </c>
      <c r="Q9" s="15"/>
      <c r="R9" s="15"/>
      <c r="S9" s="15"/>
      <c r="T9" s="16" t="s">
        <v>66</v>
      </c>
    </row>
    <row r="10" spans="1:20" ht="15.75" customHeight="1" x14ac:dyDescent="0.35">
      <c r="A10" s="17" t="s">
        <v>67</v>
      </c>
      <c r="B10" s="18" t="s">
        <v>68</v>
      </c>
      <c r="C10" s="18" t="s">
        <v>69</v>
      </c>
      <c r="D10" s="18"/>
      <c r="E10" s="18"/>
      <c r="F10" s="18" t="s">
        <v>36</v>
      </c>
      <c r="G10" s="18" t="s">
        <v>35</v>
      </c>
      <c r="H10" s="18" t="s">
        <v>36</v>
      </c>
      <c r="I10" s="18" t="s">
        <v>36</v>
      </c>
      <c r="J10" s="18"/>
      <c r="K10" s="18"/>
      <c r="L10" s="18" t="s">
        <v>36</v>
      </c>
      <c r="M10" s="18"/>
      <c r="N10" s="18" t="s">
        <v>36</v>
      </c>
      <c r="O10" s="18"/>
      <c r="P10" s="18" t="s">
        <v>36</v>
      </c>
      <c r="Q10" s="18"/>
      <c r="R10" s="18"/>
      <c r="S10" s="18" t="s">
        <v>70</v>
      </c>
      <c r="T10" s="19" t="s">
        <v>111</v>
      </c>
    </row>
  </sheetData>
  <mergeCells count="18">
    <mergeCell ref="N5:O5"/>
    <mergeCell ref="P5:R5"/>
    <mergeCell ref="S5:S6"/>
    <mergeCell ref="T5:T6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</mergeCells>
  <hyperlinks>
    <hyperlink ref="A1" location="Clases!A1" display="&lt;-Volver al inicio" xr:uid="{00000000-0004-0000-04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"/>
  <sheetViews>
    <sheetView topLeftCell="P1" zoomScaleNormal="100" workbookViewId="0">
      <selection activeCell="A15" sqref="A15"/>
    </sheetView>
  </sheetViews>
  <sheetFormatPr defaultColWidth="19.7265625" defaultRowHeight="14.5" x14ac:dyDescent="0.35"/>
  <cols>
    <col min="1" max="1" width="52.81640625" style="9" bestFit="1" customWidth="1"/>
    <col min="2" max="2" width="17.54296875" style="9" customWidth="1"/>
    <col min="3" max="3" width="12.54296875" style="9" customWidth="1"/>
    <col min="4" max="4" width="38" style="9" customWidth="1"/>
    <col min="5" max="5" width="39.54296875" style="9" customWidth="1"/>
    <col min="6" max="6" width="26.54296875" style="9" customWidth="1"/>
    <col min="7" max="7" width="22.26953125" style="9" customWidth="1"/>
    <col min="8" max="8" width="46.54296875" style="9" customWidth="1"/>
    <col min="9" max="9" width="23.7265625" style="9" customWidth="1"/>
    <col min="10" max="10" width="11.26953125" style="9" customWidth="1"/>
    <col min="11" max="11" width="15.36328125" style="9" customWidth="1"/>
    <col min="12" max="12" width="62.7265625" style="9" customWidth="1"/>
    <col min="13" max="13" width="58.81640625" style="9" customWidth="1"/>
    <col min="14" max="14" width="62.36328125" style="9" customWidth="1"/>
    <col min="15" max="15" width="58.54296875" style="9" customWidth="1"/>
    <col min="16" max="16" width="59.81640625" style="9" customWidth="1"/>
    <col min="17" max="17" width="7.7265625" style="9" customWidth="1"/>
    <col min="18" max="18" width="56.26953125" style="9" customWidth="1"/>
    <col min="19" max="19" width="8.08984375" style="9" customWidth="1"/>
    <col min="20" max="20" width="42.453125" style="9" bestFit="1" customWidth="1"/>
    <col min="21" max="16384" width="19.7265625" style="9"/>
  </cols>
  <sheetData>
    <row r="1" spans="1:20" ht="15.75" customHeight="1" x14ac:dyDescent="0.35">
      <c r="A1" s="22" t="s">
        <v>8</v>
      </c>
      <c r="B1" s="22"/>
      <c r="C1" s="22"/>
      <c r="D1" s="22"/>
      <c r="E1" s="22"/>
    </row>
    <row r="2" spans="1:20" ht="13.5" customHeight="1" x14ac:dyDescent="0.35">
      <c r="A2" s="10" t="str">
        <f>Entidades!A4</f>
        <v>bodegas</v>
      </c>
      <c r="B2" s="23" t="str">
        <f>Entidades!A2</f>
        <v>usuarios</v>
      </c>
      <c r="C2" s="23"/>
      <c r="D2" s="23"/>
      <c r="E2" s="23"/>
    </row>
    <row r="3" spans="1:20" x14ac:dyDescent="0.35">
      <c r="A3" s="11" t="s">
        <v>112</v>
      </c>
      <c r="B3" s="24" t="str">
        <f>Entidades!B2</f>
        <v>Personas que inician sesión en el sistema (vendedores y administrador)</v>
      </c>
      <c r="C3" s="24"/>
      <c r="D3" s="24"/>
      <c r="E3" s="24"/>
    </row>
    <row r="4" spans="1:20" ht="15.75" customHeight="1" x14ac:dyDescent="0.35">
      <c r="A4" s="2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2" customFormat="1" ht="15" customHeight="1" x14ac:dyDescent="0.35">
      <c r="A5" s="26" t="s">
        <v>10</v>
      </c>
      <c r="B5" s="20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0" t="s">
        <v>16</v>
      </c>
      <c r="H5" s="27" t="s">
        <v>17</v>
      </c>
      <c r="I5" s="20" t="s">
        <v>18</v>
      </c>
      <c r="J5" s="20"/>
      <c r="K5" s="20"/>
      <c r="L5" s="20" t="s">
        <v>19</v>
      </c>
      <c r="M5" s="20"/>
      <c r="N5" s="20" t="s">
        <v>20</v>
      </c>
      <c r="O5" s="20"/>
      <c r="P5" s="20" t="s">
        <v>21</v>
      </c>
      <c r="Q5" s="20"/>
      <c r="R5" s="20"/>
      <c r="S5" s="20" t="s">
        <v>22</v>
      </c>
      <c r="T5" s="21" t="s">
        <v>23</v>
      </c>
    </row>
    <row r="6" spans="1:20" s="12" customFormat="1" x14ac:dyDescent="0.35">
      <c r="A6" s="26"/>
      <c r="B6" s="20"/>
      <c r="C6" s="20"/>
      <c r="D6" s="20"/>
      <c r="E6" s="20"/>
      <c r="F6" s="20"/>
      <c r="G6" s="20"/>
      <c r="H6" s="20"/>
      <c r="I6" s="13" t="s">
        <v>24</v>
      </c>
      <c r="J6" s="13" t="s">
        <v>0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20"/>
      <c r="T6" s="21"/>
    </row>
    <row r="7" spans="1:20" x14ac:dyDescent="0.35">
      <c r="A7" s="14" t="s">
        <v>33</v>
      </c>
      <c r="B7" s="15" t="s">
        <v>34</v>
      </c>
      <c r="C7" s="15"/>
      <c r="D7" s="15"/>
      <c r="E7" s="15"/>
      <c r="F7" s="15" t="s">
        <v>35</v>
      </c>
      <c r="G7" s="15" t="s">
        <v>35</v>
      </c>
      <c r="H7" s="15" t="s">
        <v>35</v>
      </c>
      <c r="I7" s="15" t="s">
        <v>36</v>
      </c>
      <c r="J7" s="15"/>
      <c r="K7" s="15"/>
      <c r="L7" s="15" t="s">
        <v>36</v>
      </c>
      <c r="M7" s="15"/>
      <c r="N7" s="15" t="s">
        <v>36</v>
      </c>
      <c r="O7" s="15"/>
      <c r="P7" s="15" t="s">
        <v>36</v>
      </c>
      <c r="Q7" s="15"/>
      <c r="R7" s="15"/>
      <c r="S7" s="15" t="s">
        <v>37</v>
      </c>
      <c r="T7" s="16" t="s">
        <v>38</v>
      </c>
    </row>
    <row r="8" spans="1:20" x14ac:dyDescent="0.35">
      <c r="A8" s="14" t="s">
        <v>39</v>
      </c>
      <c r="B8" s="15" t="s">
        <v>40</v>
      </c>
      <c r="C8" s="15">
        <v>100</v>
      </c>
      <c r="D8" s="15"/>
      <c r="E8" s="15"/>
      <c r="F8" s="15" t="s">
        <v>36</v>
      </c>
      <c r="G8" s="15" t="s">
        <v>35</v>
      </c>
      <c r="H8" s="15" t="s">
        <v>36</v>
      </c>
      <c r="I8" s="15" t="s">
        <v>36</v>
      </c>
      <c r="J8" s="15"/>
      <c r="K8" s="15"/>
      <c r="L8" s="15" t="s">
        <v>36</v>
      </c>
      <c r="M8" s="15"/>
      <c r="N8" s="15" t="s">
        <v>36</v>
      </c>
      <c r="O8" s="15"/>
      <c r="P8" s="15" t="s">
        <v>36</v>
      </c>
      <c r="Q8" s="15"/>
      <c r="R8" s="15"/>
      <c r="S8" s="15"/>
      <c r="T8" s="16" t="s">
        <v>71</v>
      </c>
    </row>
    <row r="9" spans="1:20" x14ac:dyDescent="0.35">
      <c r="A9" s="14" t="s">
        <v>72</v>
      </c>
      <c r="B9" s="15" t="s">
        <v>40</v>
      </c>
      <c r="C9" s="15">
        <v>100</v>
      </c>
      <c r="D9" s="15"/>
      <c r="E9" s="15"/>
      <c r="F9" s="15" t="s">
        <v>36</v>
      </c>
      <c r="G9" s="15" t="s">
        <v>35</v>
      </c>
      <c r="H9" s="15" t="s">
        <v>36</v>
      </c>
      <c r="I9" s="15" t="s">
        <v>36</v>
      </c>
      <c r="J9" s="15"/>
      <c r="K9" s="15"/>
      <c r="L9" s="15" t="s">
        <v>36</v>
      </c>
      <c r="M9" s="15"/>
      <c r="N9" s="15" t="s">
        <v>36</v>
      </c>
      <c r="O9" s="15"/>
      <c r="P9" s="15" t="s">
        <v>36</v>
      </c>
      <c r="Q9" s="15"/>
      <c r="R9" s="15"/>
      <c r="S9" s="15"/>
      <c r="T9" s="16" t="s">
        <v>73</v>
      </c>
    </row>
    <row r="10" spans="1:20" ht="15.75" customHeight="1" x14ac:dyDescent="0.3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</row>
  </sheetData>
  <mergeCells count="18">
    <mergeCell ref="N5:O5"/>
    <mergeCell ref="P5:R5"/>
    <mergeCell ref="S5:S6"/>
    <mergeCell ref="T5:T6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</mergeCells>
  <hyperlinks>
    <hyperlink ref="A1" location="Clases!A1" display="&lt;-Volver al inicio" xr:uid="{00000000-0004-0000-05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10"/>
  <sheetViews>
    <sheetView zoomScaleNormal="100" workbookViewId="0">
      <selection activeCell="A5" sqref="A5:A6"/>
    </sheetView>
  </sheetViews>
  <sheetFormatPr defaultColWidth="19.7265625" defaultRowHeight="14.5" x14ac:dyDescent="0.35"/>
  <cols>
    <col min="1" max="1" width="26.36328125" style="9" bestFit="1" customWidth="1"/>
    <col min="2" max="2" width="17.54296875" style="9" customWidth="1"/>
    <col min="3" max="3" width="12.54296875" style="9" customWidth="1"/>
    <col min="4" max="4" width="38" style="9" customWidth="1"/>
    <col min="5" max="5" width="39.54296875" style="9" customWidth="1"/>
    <col min="6" max="6" width="26.54296875" style="9" customWidth="1"/>
    <col min="7" max="7" width="22.26953125" style="9" customWidth="1"/>
    <col min="8" max="8" width="46.54296875" style="9" customWidth="1"/>
    <col min="9" max="9" width="23.7265625" style="9" customWidth="1"/>
    <col min="10" max="10" width="11.26953125" style="9" customWidth="1"/>
    <col min="11" max="11" width="15.36328125" style="9" customWidth="1"/>
    <col min="12" max="12" width="62.7265625" style="9" customWidth="1"/>
    <col min="13" max="13" width="58.81640625" style="9" customWidth="1"/>
    <col min="14" max="14" width="62.36328125" style="9" customWidth="1"/>
    <col min="15" max="15" width="58.54296875" style="9" customWidth="1"/>
    <col min="16" max="16" width="59.81640625" style="9" customWidth="1"/>
    <col min="17" max="17" width="7.7265625" style="9" customWidth="1"/>
    <col min="18" max="18" width="56.26953125" style="9" customWidth="1"/>
    <col min="19" max="19" width="8.08984375" style="9" customWidth="1"/>
    <col min="20" max="20" width="29.26953125" style="9" customWidth="1"/>
    <col min="21" max="16384" width="19.7265625" style="9"/>
  </cols>
  <sheetData>
    <row r="1" spans="1:20" ht="15.75" customHeight="1" x14ac:dyDescent="0.35">
      <c r="A1" s="22" t="s">
        <v>8</v>
      </c>
      <c r="B1" s="22"/>
      <c r="C1" s="22"/>
      <c r="D1" s="22"/>
      <c r="E1" s="22"/>
    </row>
    <row r="2" spans="1:20" ht="13.5" customHeight="1" x14ac:dyDescent="0.35">
      <c r="A2" s="10" t="str">
        <f>Entidades!A5</f>
        <v>clientes</v>
      </c>
      <c r="B2" s="23" t="str">
        <f>Entidades!A2</f>
        <v>usuarios</v>
      </c>
      <c r="C2" s="23"/>
      <c r="D2" s="23"/>
      <c r="E2" s="23"/>
    </row>
    <row r="3" spans="1:20" ht="15.75" customHeight="1" x14ac:dyDescent="0.35">
      <c r="A3" s="11" t="s">
        <v>113</v>
      </c>
      <c r="B3" s="24" t="str">
        <f>Entidades!B2</f>
        <v>Personas que inician sesión en el sistema (vendedores y administrador)</v>
      </c>
      <c r="C3" s="24"/>
      <c r="D3" s="24"/>
      <c r="E3" s="24"/>
    </row>
    <row r="4" spans="1:20" ht="15.75" customHeight="1" x14ac:dyDescent="0.35">
      <c r="A4" s="2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2" customFormat="1" ht="15" customHeight="1" x14ac:dyDescent="0.35">
      <c r="A5" s="26" t="s">
        <v>10</v>
      </c>
      <c r="B5" s="20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0" t="s">
        <v>16</v>
      </c>
      <c r="H5" s="27" t="s">
        <v>17</v>
      </c>
      <c r="I5" s="20" t="s">
        <v>18</v>
      </c>
      <c r="J5" s="20"/>
      <c r="K5" s="20"/>
      <c r="L5" s="20" t="s">
        <v>19</v>
      </c>
      <c r="M5" s="20"/>
      <c r="N5" s="20" t="s">
        <v>20</v>
      </c>
      <c r="O5" s="20"/>
      <c r="P5" s="20" t="s">
        <v>21</v>
      </c>
      <c r="Q5" s="20"/>
      <c r="R5" s="20"/>
      <c r="S5" s="20" t="s">
        <v>22</v>
      </c>
      <c r="T5" s="21" t="s">
        <v>23</v>
      </c>
    </row>
    <row r="6" spans="1:20" s="12" customFormat="1" x14ac:dyDescent="0.35">
      <c r="A6" s="26"/>
      <c r="B6" s="20"/>
      <c r="C6" s="20"/>
      <c r="D6" s="20"/>
      <c r="E6" s="20"/>
      <c r="F6" s="20"/>
      <c r="G6" s="20"/>
      <c r="H6" s="20"/>
      <c r="I6" s="13" t="s">
        <v>24</v>
      </c>
      <c r="J6" s="13" t="s">
        <v>0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20"/>
      <c r="T6" s="21"/>
    </row>
    <row r="7" spans="1:20" x14ac:dyDescent="0.35">
      <c r="A7" s="14" t="s">
        <v>33</v>
      </c>
      <c r="B7" s="15" t="s">
        <v>34</v>
      </c>
      <c r="C7" s="15"/>
      <c r="D7" s="15"/>
      <c r="E7" s="15"/>
      <c r="F7" s="15" t="s">
        <v>35</v>
      </c>
      <c r="G7" s="15" t="s">
        <v>35</v>
      </c>
      <c r="H7" s="15" t="s">
        <v>35</v>
      </c>
      <c r="I7" s="15" t="s">
        <v>36</v>
      </c>
      <c r="J7" s="15"/>
      <c r="K7" s="15"/>
      <c r="L7" s="15" t="s">
        <v>36</v>
      </c>
      <c r="M7" s="15"/>
      <c r="N7" s="15" t="s">
        <v>36</v>
      </c>
      <c r="O7" s="15"/>
      <c r="P7" s="15" t="s">
        <v>36</v>
      </c>
      <c r="Q7" s="15"/>
      <c r="R7" s="15"/>
      <c r="S7" s="15" t="s">
        <v>37</v>
      </c>
      <c r="T7" s="16" t="s">
        <v>38</v>
      </c>
    </row>
    <row r="8" spans="1:20" x14ac:dyDescent="0.35">
      <c r="A8" s="14" t="s">
        <v>39</v>
      </c>
      <c r="B8" s="15" t="s">
        <v>40</v>
      </c>
      <c r="C8" s="15">
        <v>100</v>
      </c>
      <c r="D8" s="15"/>
      <c r="E8" s="15"/>
      <c r="F8" s="15" t="s">
        <v>36</v>
      </c>
      <c r="G8" s="15" t="s">
        <v>35</v>
      </c>
      <c r="H8" s="15" t="s">
        <v>36</v>
      </c>
      <c r="I8" s="15" t="s">
        <v>36</v>
      </c>
      <c r="J8" s="15"/>
      <c r="K8" s="15"/>
      <c r="L8" s="15" t="s">
        <v>36</v>
      </c>
      <c r="M8" s="15"/>
      <c r="N8" s="15" t="s">
        <v>36</v>
      </c>
      <c r="O8" s="15"/>
      <c r="P8" s="15" t="s">
        <v>36</v>
      </c>
      <c r="Q8" s="15"/>
      <c r="R8" s="15"/>
      <c r="S8" s="15"/>
      <c r="T8" s="16" t="s">
        <v>74</v>
      </c>
    </row>
    <row r="9" spans="1:20" x14ac:dyDescent="0.35">
      <c r="A9" s="14" t="s">
        <v>75</v>
      </c>
      <c r="B9" s="15" t="s">
        <v>40</v>
      </c>
      <c r="C9" s="15">
        <v>20</v>
      </c>
      <c r="D9" s="15"/>
      <c r="E9" s="15"/>
      <c r="F9" s="15" t="s">
        <v>36</v>
      </c>
      <c r="G9" s="15" t="s">
        <v>35</v>
      </c>
      <c r="H9" s="15" t="s">
        <v>36</v>
      </c>
      <c r="I9" s="15" t="s">
        <v>36</v>
      </c>
      <c r="J9" s="15"/>
      <c r="K9" s="15"/>
      <c r="L9" s="15" t="s">
        <v>36</v>
      </c>
      <c r="M9" s="15"/>
      <c r="N9" s="15" t="s">
        <v>36</v>
      </c>
      <c r="O9" s="15"/>
      <c r="P9" s="15" t="s">
        <v>36</v>
      </c>
      <c r="Q9" s="15"/>
      <c r="R9" s="15"/>
      <c r="S9" s="15"/>
      <c r="T9" s="16" t="s">
        <v>76</v>
      </c>
    </row>
    <row r="10" spans="1:20" ht="15.75" customHeight="1" x14ac:dyDescent="0.3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</row>
  </sheetData>
  <mergeCells count="18">
    <mergeCell ref="N5:O5"/>
    <mergeCell ref="P5:R5"/>
    <mergeCell ref="S5:S6"/>
    <mergeCell ref="T5:T6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</mergeCells>
  <hyperlinks>
    <hyperlink ref="A1" location="Clases!A1" display="&lt;-Volver al inicio" xr:uid="{00000000-0004-0000-07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15"/>
  <sheetViews>
    <sheetView zoomScaleNormal="100" workbookViewId="0">
      <selection activeCell="D17" sqref="D17"/>
    </sheetView>
  </sheetViews>
  <sheetFormatPr defaultColWidth="19.7265625" defaultRowHeight="14.5" x14ac:dyDescent="0.35"/>
  <cols>
    <col min="1" max="1" width="18.1796875" style="9" bestFit="1" customWidth="1"/>
    <col min="2" max="2" width="17.54296875" style="9" customWidth="1"/>
    <col min="3" max="3" width="12.54296875" style="9" customWidth="1"/>
    <col min="4" max="4" width="38" style="9" customWidth="1"/>
    <col min="5" max="5" width="39.54296875" style="9" customWidth="1"/>
    <col min="6" max="6" width="26.54296875" style="9" customWidth="1"/>
    <col min="7" max="7" width="22.26953125" style="9" customWidth="1"/>
    <col min="8" max="8" width="46.54296875" style="9" customWidth="1"/>
    <col min="9" max="9" width="23.7265625" style="9" customWidth="1"/>
    <col min="10" max="10" width="11.26953125" style="9" customWidth="1"/>
    <col min="11" max="11" width="15.36328125" style="9" customWidth="1"/>
    <col min="12" max="12" width="62.7265625" style="9" customWidth="1"/>
    <col min="13" max="13" width="58.81640625" style="9" customWidth="1"/>
    <col min="14" max="14" width="62.36328125" style="9" customWidth="1"/>
    <col min="15" max="15" width="58.54296875" style="9" customWidth="1"/>
    <col min="16" max="16" width="59.81640625" style="9" customWidth="1"/>
    <col min="17" max="17" width="7.7265625" style="9" customWidth="1"/>
    <col min="18" max="18" width="56.26953125" style="9" customWidth="1"/>
    <col min="19" max="19" width="11.54296875" style="9" bestFit="1" customWidth="1"/>
    <col min="20" max="20" width="134.1796875" style="9" bestFit="1" customWidth="1"/>
    <col min="21" max="16384" width="19.7265625" style="9"/>
  </cols>
  <sheetData>
    <row r="1" spans="1:20" ht="15.75" customHeight="1" x14ac:dyDescent="0.35">
      <c r="A1" s="22" t="s">
        <v>8</v>
      </c>
      <c r="B1" s="22"/>
      <c r="C1" s="22"/>
      <c r="D1" s="22"/>
      <c r="E1" s="22"/>
    </row>
    <row r="2" spans="1:20" ht="13.5" customHeight="1" x14ac:dyDescent="0.35">
      <c r="A2" s="10" t="str">
        <f>Entidades!A6</f>
        <v>pedidos</v>
      </c>
      <c r="B2" s="23" t="str">
        <f>Entidades!A2</f>
        <v>usuarios</v>
      </c>
      <c r="C2" s="23"/>
      <c r="D2" s="23"/>
      <c r="E2" s="23"/>
    </row>
    <row r="3" spans="1:20" ht="15.75" customHeight="1" x14ac:dyDescent="0.35">
      <c r="A3" s="11" t="s">
        <v>125</v>
      </c>
      <c r="B3" s="24" t="str">
        <f>Entidades!B2</f>
        <v>Personas que inician sesión en el sistema (vendedores y administrador)</v>
      </c>
      <c r="C3" s="24"/>
      <c r="D3" s="24"/>
      <c r="E3" s="24"/>
    </row>
    <row r="4" spans="1:20" ht="15.75" customHeight="1" x14ac:dyDescent="0.35">
      <c r="A4" s="2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2" customFormat="1" ht="15" customHeight="1" x14ac:dyDescent="0.35">
      <c r="A5" s="26" t="s">
        <v>10</v>
      </c>
      <c r="B5" s="20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0" t="s">
        <v>16</v>
      </c>
      <c r="H5" s="27" t="s">
        <v>17</v>
      </c>
      <c r="I5" s="20" t="s">
        <v>18</v>
      </c>
      <c r="J5" s="20"/>
      <c r="K5" s="20"/>
      <c r="L5" s="20" t="s">
        <v>19</v>
      </c>
      <c r="M5" s="20"/>
      <c r="N5" s="20" t="s">
        <v>20</v>
      </c>
      <c r="O5" s="20"/>
      <c r="P5" s="20" t="s">
        <v>21</v>
      </c>
      <c r="Q5" s="20"/>
      <c r="R5" s="20"/>
      <c r="S5" s="20" t="s">
        <v>22</v>
      </c>
      <c r="T5" s="21" t="s">
        <v>23</v>
      </c>
    </row>
    <row r="6" spans="1:20" s="12" customFormat="1" x14ac:dyDescent="0.35">
      <c r="A6" s="26"/>
      <c r="B6" s="20"/>
      <c r="C6" s="20"/>
      <c r="D6" s="20"/>
      <c r="E6" s="20"/>
      <c r="F6" s="20"/>
      <c r="G6" s="20"/>
      <c r="H6" s="20"/>
      <c r="I6" s="13" t="s">
        <v>24</v>
      </c>
      <c r="J6" s="13" t="s">
        <v>0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20"/>
      <c r="T6" s="21"/>
    </row>
    <row r="7" spans="1:20" x14ac:dyDescent="0.35">
      <c r="A7" s="14" t="s">
        <v>33</v>
      </c>
      <c r="B7" s="15" t="s">
        <v>34</v>
      </c>
      <c r="C7" s="15"/>
      <c r="D7" s="15"/>
      <c r="E7" s="15"/>
      <c r="F7" s="15" t="s">
        <v>35</v>
      </c>
      <c r="G7" s="15" t="s">
        <v>35</v>
      </c>
      <c r="H7" s="15" t="s">
        <v>35</v>
      </c>
      <c r="I7" s="15" t="s">
        <v>36</v>
      </c>
      <c r="J7" s="15"/>
      <c r="K7" s="15"/>
      <c r="L7" s="15" t="s">
        <v>36</v>
      </c>
      <c r="M7" s="15"/>
      <c r="N7" s="15" t="s">
        <v>36</v>
      </c>
      <c r="O7" s="15"/>
      <c r="P7" s="15" t="s">
        <v>36</v>
      </c>
      <c r="Q7" s="15"/>
      <c r="R7" s="15"/>
      <c r="S7" s="15" t="s">
        <v>37</v>
      </c>
      <c r="T7" s="16" t="s">
        <v>38</v>
      </c>
    </row>
    <row r="8" spans="1:20" x14ac:dyDescent="0.35">
      <c r="A8" s="14" t="s">
        <v>77</v>
      </c>
      <c r="B8" s="15" t="s">
        <v>34</v>
      </c>
      <c r="C8" s="15"/>
      <c r="D8" s="15"/>
      <c r="E8" s="15"/>
      <c r="F8" s="15" t="s">
        <v>35</v>
      </c>
      <c r="G8" s="15" t="s">
        <v>35</v>
      </c>
      <c r="H8" s="15" t="s">
        <v>36</v>
      </c>
      <c r="I8" s="15" t="s">
        <v>36</v>
      </c>
      <c r="J8" s="15"/>
      <c r="K8" s="15"/>
      <c r="L8" s="15" t="s">
        <v>35</v>
      </c>
      <c r="M8" s="15" t="s">
        <v>78</v>
      </c>
      <c r="N8" s="15" t="s">
        <v>36</v>
      </c>
      <c r="O8" s="15"/>
      <c r="P8" s="15" t="s">
        <v>36</v>
      </c>
      <c r="Q8" s="15"/>
      <c r="R8" s="15"/>
      <c r="S8" s="15" t="s">
        <v>79</v>
      </c>
      <c r="T8" s="16" t="s">
        <v>124</v>
      </c>
    </row>
    <row r="9" spans="1:20" x14ac:dyDescent="0.35">
      <c r="A9" s="14" t="s">
        <v>80</v>
      </c>
      <c r="B9" s="15" t="s">
        <v>34</v>
      </c>
      <c r="C9" s="15"/>
      <c r="D9" s="15"/>
      <c r="E9" s="15"/>
      <c r="F9" s="15" t="s">
        <v>36</v>
      </c>
      <c r="G9" s="15" t="s">
        <v>35</v>
      </c>
      <c r="H9" s="15" t="s">
        <v>36</v>
      </c>
      <c r="I9" s="15" t="s">
        <v>35</v>
      </c>
      <c r="J9" s="15" t="s">
        <v>2</v>
      </c>
      <c r="K9" s="15" t="s">
        <v>33</v>
      </c>
      <c r="L9" s="15" t="s">
        <v>36</v>
      </c>
      <c r="M9" s="15"/>
      <c r="N9" s="15" t="s">
        <v>36</v>
      </c>
      <c r="O9" s="15"/>
      <c r="P9" s="15" t="s">
        <v>36</v>
      </c>
      <c r="Q9" s="15"/>
      <c r="R9" s="15"/>
      <c r="S9" s="15" t="s">
        <v>81</v>
      </c>
      <c r="T9" s="16" t="s">
        <v>115</v>
      </c>
    </row>
    <row r="10" spans="1:20" ht="15.75" customHeight="1" x14ac:dyDescent="0.35">
      <c r="A10" s="17" t="s">
        <v>82</v>
      </c>
      <c r="B10" s="18" t="s">
        <v>34</v>
      </c>
      <c r="C10" s="18"/>
      <c r="D10" s="18"/>
      <c r="E10" s="18"/>
      <c r="F10" s="18" t="s">
        <v>36</v>
      </c>
      <c r="G10" s="18" t="s">
        <v>35</v>
      </c>
      <c r="H10" s="18" t="s">
        <v>36</v>
      </c>
      <c r="I10" s="18" t="s">
        <v>35</v>
      </c>
      <c r="J10" s="18" t="s">
        <v>5</v>
      </c>
      <c r="K10" s="18" t="s">
        <v>33</v>
      </c>
      <c r="L10" s="18" t="s">
        <v>36</v>
      </c>
      <c r="M10" s="18"/>
      <c r="N10" s="18" t="s">
        <v>36</v>
      </c>
      <c r="O10" s="18"/>
      <c r="P10" s="18" t="s">
        <v>36</v>
      </c>
      <c r="Q10" s="18"/>
      <c r="R10" s="18"/>
      <c r="S10" s="18" t="s">
        <v>83</v>
      </c>
      <c r="T10" s="19" t="s">
        <v>116</v>
      </c>
    </row>
    <row r="11" spans="1:20" x14ac:dyDescent="0.35">
      <c r="A11" s="17" t="s">
        <v>84</v>
      </c>
      <c r="B11" s="18" t="s">
        <v>68</v>
      </c>
      <c r="C11" s="18" t="s">
        <v>85</v>
      </c>
      <c r="D11" s="18"/>
      <c r="E11" s="18"/>
      <c r="F11" s="18" t="s">
        <v>36</v>
      </c>
      <c r="G11" s="18" t="s">
        <v>36</v>
      </c>
      <c r="H11" s="18" t="s">
        <v>36</v>
      </c>
      <c r="I11" s="18" t="s">
        <v>36</v>
      </c>
      <c r="J11" s="18"/>
      <c r="K11" s="18"/>
      <c r="L11" s="18" t="s">
        <v>36</v>
      </c>
      <c r="M11" s="18"/>
      <c r="N11" s="18" t="s">
        <v>36</v>
      </c>
      <c r="O11" s="18"/>
      <c r="P11" s="18" t="s">
        <v>36</v>
      </c>
      <c r="Q11" s="18"/>
      <c r="R11" s="18"/>
      <c r="S11" s="18"/>
      <c r="T11" s="19" t="s">
        <v>86</v>
      </c>
    </row>
    <row r="12" spans="1:20" x14ac:dyDescent="0.35">
      <c r="A12" s="17" t="s">
        <v>87</v>
      </c>
      <c r="B12" s="18" t="s">
        <v>40</v>
      </c>
      <c r="C12" s="18">
        <v>30</v>
      </c>
      <c r="D12" s="18"/>
      <c r="E12" s="18"/>
      <c r="F12" s="18" t="s">
        <v>36</v>
      </c>
      <c r="G12" s="18" t="s">
        <v>35</v>
      </c>
      <c r="H12" s="18" t="s">
        <v>36</v>
      </c>
      <c r="I12" s="18" t="s">
        <v>36</v>
      </c>
      <c r="J12" s="18"/>
      <c r="K12" s="18"/>
      <c r="L12" s="18" t="s">
        <v>36</v>
      </c>
      <c r="M12" s="18"/>
      <c r="N12" s="18" t="s">
        <v>36</v>
      </c>
      <c r="O12" s="18"/>
      <c r="P12" s="18" t="s">
        <v>36</v>
      </c>
      <c r="Q12" s="18"/>
      <c r="R12" s="18"/>
      <c r="S12" s="18" t="s">
        <v>88</v>
      </c>
      <c r="T12" s="19" t="s">
        <v>117</v>
      </c>
    </row>
    <row r="13" spans="1:20" x14ac:dyDescent="0.35">
      <c r="A13" s="17" t="s">
        <v>89</v>
      </c>
      <c r="B13" s="18" t="s">
        <v>40</v>
      </c>
      <c r="C13" s="18">
        <v>100</v>
      </c>
      <c r="D13" s="18"/>
      <c r="E13" s="18"/>
      <c r="F13" s="18" t="s">
        <v>36</v>
      </c>
      <c r="G13" s="18" t="s">
        <v>36</v>
      </c>
      <c r="H13" s="18" t="s">
        <v>36</v>
      </c>
      <c r="I13" s="18" t="s">
        <v>36</v>
      </c>
      <c r="J13" s="18"/>
      <c r="K13" s="18"/>
      <c r="L13" s="18" t="s">
        <v>36</v>
      </c>
      <c r="M13" s="18"/>
      <c r="N13" s="18" t="s">
        <v>36</v>
      </c>
      <c r="O13" s="18"/>
      <c r="P13" s="18" t="s">
        <v>36</v>
      </c>
      <c r="Q13" s="18"/>
      <c r="R13" s="18"/>
      <c r="S13" s="18" t="s">
        <v>88</v>
      </c>
      <c r="T13" s="19" t="s">
        <v>90</v>
      </c>
    </row>
    <row r="14" spans="1:20" x14ac:dyDescent="0.35">
      <c r="A14" s="17" t="s">
        <v>91</v>
      </c>
      <c r="B14" s="18" t="s">
        <v>65</v>
      </c>
      <c r="C14" s="18"/>
      <c r="D14" s="18">
        <v>10</v>
      </c>
      <c r="E14" s="18">
        <v>2</v>
      </c>
      <c r="F14" s="18" t="s">
        <v>36</v>
      </c>
      <c r="G14" s="18" t="s">
        <v>35</v>
      </c>
      <c r="H14" s="18" t="s">
        <v>36</v>
      </c>
      <c r="I14" s="18" t="s">
        <v>36</v>
      </c>
      <c r="J14" s="18"/>
      <c r="K14" s="18"/>
      <c r="L14" s="18" t="s">
        <v>36</v>
      </c>
      <c r="M14" s="18"/>
      <c r="N14" s="18" t="s">
        <v>36</v>
      </c>
      <c r="O14" s="18"/>
      <c r="P14" s="18" t="s">
        <v>36</v>
      </c>
      <c r="Q14" s="18"/>
      <c r="R14" s="18"/>
      <c r="S14" s="18"/>
      <c r="T14" s="19" t="s">
        <v>92</v>
      </c>
    </row>
    <row r="15" spans="1:20" ht="15" thickBot="1" x14ac:dyDescent="0.4">
      <c r="A15" s="17" t="s">
        <v>93</v>
      </c>
      <c r="B15" s="18" t="s">
        <v>51</v>
      </c>
      <c r="C15" s="18"/>
      <c r="D15" s="18"/>
      <c r="E15" s="18"/>
      <c r="F15" s="18" t="s">
        <v>36</v>
      </c>
      <c r="G15" s="18" t="s">
        <v>36</v>
      </c>
      <c r="H15" s="18" t="s">
        <v>36</v>
      </c>
      <c r="I15" s="18" t="s">
        <v>36</v>
      </c>
      <c r="J15" s="18"/>
      <c r="K15" s="18"/>
      <c r="L15" s="18" t="s">
        <v>36</v>
      </c>
      <c r="M15" s="18"/>
      <c r="N15" s="18" t="s">
        <v>36</v>
      </c>
      <c r="O15" s="18"/>
      <c r="P15" s="18" t="s">
        <v>36</v>
      </c>
      <c r="Q15" s="18"/>
      <c r="R15" s="18"/>
      <c r="S15" s="18"/>
      <c r="T15" s="19" t="s">
        <v>52</v>
      </c>
    </row>
  </sheetData>
  <mergeCells count="18">
    <mergeCell ref="N5:O5"/>
    <mergeCell ref="P5:R5"/>
    <mergeCell ref="S5:S6"/>
    <mergeCell ref="T5:T6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</mergeCells>
  <hyperlinks>
    <hyperlink ref="A1" location="Clases!A1" display="&lt;-Volver al inicio" xr:uid="{00000000-0004-0000-08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14"/>
  <sheetViews>
    <sheetView tabSelected="1" zoomScaleNormal="100" workbookViewId="0">
      <selection activeCell="A3" sqref="A3"/>
    </sheetView>
  </sheetViews>
  <sheetFormatPr defaultColWidth="19.7265625" defaultRowHeight="14.5" x14ac:dyDescent="0.35"/>
  <cols>
    <col min="1" max="1" width="97.6328125" style="9" bestFit="1" customWidth="1"/>
    <col min="2" max="2" width="17.54296875" style="9" customWidth="1"/>
    <col min="3" max="3" width="12.54296875" style="9" customWidth="1"/>
    <col min="4" max="4" width="38" style="9" customWidth="1"/>
    <col min="5" max="5" width="39.54296875" style="9" customWidth="1"/>
    <col min="6" max="6" width="26.54296875" style="9" customWidth="1"/>
    <col min="7" max="7" width="22.26953125" style="9" customWidth="1"/>
    <col min="8" max="8" width="46.54296875" style="9" customWidth="1"/>
    <col min="9" max="9" width="23.7265625" style="9" customWidth="1"/>
    <col min="10" max="10" width="11.26953125" style="9" customWidth="1"/>
    <col min="11" max="11" width="15.36328125" style="9" customWidth="1"/>
    <col min="12" max="12" width="62.7265625" style="9" customWidth="1"/>
    <col min="13" max="13" width="58.81640625" style="9" customWidth="1"/>
    <col min="14" max="14" width="62.36328125" style="9" customWidth="1"/>
    <col min="15" max="15" width="58.54296875" style="9" customWidth="1"/>
    <col min="16" max="16" width="59.81640625" style="9" customWidth="1"/>
    <col min="17" max="17" width="7.7265625" style="9" customWidth="1"/>
    <col min="18" max="18" width="56.26953125" style="9" customWidth="1"/>
    <col min="19" max="19" width="8.08984375" style="9" customWidth="1"/>
    <col min="20" max="20" width="115.54296875" style="9" bestFit="1" customWidth="1"/>
    <col min="21" max="16384" width="19.7265625" style="9"/>
  </cols>
  <sheetData>
    <row r="1" spans="1:20" ht="15.75" customHeight="1" x14ac:dyDescent="0.35">
      <c r="A1" s="22" t="s">
        <v>8</v>
      </c>
      <c r="B1" s="22"/>
      <c r="C1" s="22"/>
      <c r="D1" s="22"/>
      <c r="E1" s="22"/>
    </row>
    <row r="2" spans="1:20" ht="13.5" customHeight="1" x14ac:dyDescent="0.35">
      <c r="A2" s="10" t="str">
        <f>Entidades!A7</f>
        <v>envios</v>
      </c>
      <c r="B2" s="23" t="str">
        <f>Entidades!A2</f>
        <v>usuarios</v>
      </c>
      <c r="C2" s="23"/>
      <c r="D2" s="23"/>
      <c r="E2" s="23"/>
    </row>
    <row r="3" spans="1:20" ht="15.75" customHeight="1" x14ac:dyDescent="0.35">
      <c r="A3" s="11" t="s">
        <v>109</v>
      </c>
      <c r="B3" s="24" t="str">
        <f>Entidades!B2</f>
        <v>Personas que inician sesión en el sistema (vendedores y administrador)</v>
      </c>
      <c r="C3" s="24"/>
      <c r="D3" s="24"/>
      <c r="E3" s="24"/>
    </row>
    <row r="4" spans="1:20" ht="15.75" customHeight="1" x14ac:dyDescent="0.35">
      <c r="A4" s="2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2" customFormat="1" ht="15" customHeight="1" x14ac:dyDescent="0.35">
      <c r="A5" s="26" t="s">
        <v>10</v>
      </c>
      <c r="B5" s="20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0" t="s">
        <v>16</v>
      </c>
      <c r="H5" s="27" t="s">
        <v>17</v>
      </c>
      <c r="I5" s="20" t="s">
        <v>18</v>
      </c>
      <c r="J5" s="20"/>
      <c r="K5" s="20"/>
      <c r="L5" s="20" t="s">
        <v>19</v>
      </c>
      <c r="M5" s="20"/>
      <c r="N5" s="20" t="s">
        <v>20</v>
      </c>
      <c r="O5" s="20"/>
      <c r="P5" s="20" t="s">
        <v>21</v>
      </c>
      <c r="Q5" s="20"/>
      <c r="R5" s="20"/>
      <c r="S5" s="20" t="s">
        <v>22</v>
      </c>
      <c r="T5" s="21" t="s">
        <v>23</v>
      </c>
    </row>
    <row r="6" spans="1:20" s="12" customFormat="1" x14ac:dyDescent="0.35">
      <c r="A6" s="26"/>
      <c r="B6" s="20"/>
      <c r="C6" s="20"/>
      <c r="D6" s="20"/>
      <c r="E6" s="20"/>
      <c r="F6" s="20"/>
      <c r="G6" s="20"/>
      <c r="H6" s="20"/>
      <c r="I6" s="13" t="s">
        <v>24</v>
      </c>
      <c r="J6" s="13" t="s">
        <v>0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20"/>
      <c r="T6" s="21"/>
    </row>
    <row r="7" spans="1:20" x14ac:dyDescent="0.35">
      <c r="A7" s="14" t="s">
        <v>33</v>
      </c>
      <c r="B7" s="15" t="s">
        <v>34</v>
      </c>
      <c r="C7" s="15"/>
      <c r="D7" s="15"/>
      <c r="E7" s="15"/>
      <c r="F7" s="15" t="s">
        <v>35</v>
      </c>
      <c r="G7" s="15" t="s">
        <v>35</v>
      </c>
      <c r="H7" s="15" t="s">
        <v>35</v>
      </c>
      <c r="I7" s="15" t="s">
        <v>36</v>
      </c>
      <c r="J7" s="15"/>
      <c r="K7" s="15"/>
      <c r="L7" s="15" t="s">
        <v>36</v>
      </c>
      <c r="M7" s="15"/>
      <c r="N7" s="15" t="s">
        <v>36</v>
      </c>
      <c r="O7" s="15"/>
      <c r="P7" s="15" t="s">
        <v>36</v>
      </c>
      <c r="Q7" s="15"/>
      <c r="R7" s="15"/>
      <c r="S7" s="15" t="s">
        <v>37</v>
      </c>
      <c r="T7" s="16" t="s">
        <v>38</v>
      </c>
    </row>
    <row r="8" spans="1:20" x14ac:dyDescent="0.35">
      <c r="A8" s="14" t="s">
        <v>94</v>
      </c>
      <c r="B8" s="15" t="s">
        <v>34</v>
      </c>
      <c r="C8" s="15"/>
      <c r="D8" s="15"/>
      <c r="E8" s="15"/>
      <c r="F8" s="15" t="s">
        <v>36</v>
      </c>
      <c r="G8" s="15" t="s">
        <v>35</v>
      </c>
      <c r="H8" s="15" t="s">
        <v>36</v>
      </c>
      <c r="I8" s="15" t="s">
        <v>35</v>
      </c>
      <c r="J8" s="15" t="s">
        <v>6</v>
      </c>
      <c r="K8" s="15" t="s">
        <v>33</v>
      </c>
      <c r="L8" s="15" t="s">
        <v>36</v>
      </c>
      <c r="M8" s="15"/>
      <c r="N8" s="15" t="s">
        <v>36</v>
      </c>
      <c r="O8" s="15"/>
      <c r="P8" s="15" t="s">
        <v>36</v>
      </c>
      <c r="Q8" s="15"/>
      <c r="R8" s="15"/>
      <c r="S8" s="15"/>
      <c r="T8" s="16" t="s">
        <v>118</v>
      </c>
    </row>
    <row r="9" spans="1:20" x14ac:dyDescent="0.35">
      <c r="A9" s="14" t="s">
        <v>95</v>
      </c>
      <c r="B9" s="15" t="s">
        <v>34</v>
      </c>
      <c r="C9" s="15"/>
      <c r="D9" s="15"/>
      <c r="E9" s="15"/>
      <c r="F9" s="15" t="s">
        <v>36</v>
      </c>
      <c r="G9" s="15" t="s">
        <v>35</v>
      </c>
      <c r="H9" s="15" t="s">
        <v>36</v>
      </c>
      <c r="I9" s="15" t="s">
        <v>35</v>
      </c>
      <c r="J9" s="15" t="s">
        <v>4</v>
      </c>
      <c r="K9" s="15" t="s">
        <v>33</v>
      </c>
      <c r="L9" s="15" t="s">
        <v>36</v>
      </c>
      <c r="M9" s="15"/>
      <c r="N9" s="15" t="s">
        <v>36</v>
      </c>
      <c r="O9" s="15"/>
      <c r="P9" s="15" t="s">
        <v>36</v>
      </c>
      <c r="Q9" s="15"/>
      <c r="R9" s="15"/>
      <c r="S9" s="15"/>
      <c r="T9" s="16" t="s">
        <v>96</v>
      </c>
    </row>
    <row r="10" spans="1:20" ht="15.75" customHeight="1" x14ac:dyDescent="0.35">
      <c r="A10" s="17" t="s">
        <v>97</v>
      </c>
      <c r="B10" s="18" t="s">
        <v>40</v>
      </c>
      <c r="C10" s="18">
        <v>200</v>
      </c>
      <c r="D10" s="18"/>
      <c r="E10" s="18"/>
      <c r="F10" s="18" t="s">
        <v>36</v>
      </c>
      <c r="G10" s="18" t="s">
        <v>35</v>
      </c>
      <c r="H10" s="18" t="s">
        <v>36</v>
      </c>
      <c r="I10" s="18" t="s">
        <v>36</v>
      </c>
      <c r="J10" s="18"/>
      <c r="K10" s="18"/>
      <c r="L10" s="18" t="s">
        <v>36</v>
      </c>
      <c r="M10" s="18"/>
      <c r="N10" s="18" t="s">
        <v>36</v>
      </c>
      <c r="O10" s="18"/>
      <c r="P10" s="18" t="s">
        <v>36</v>
      </c>
      <c r="Q10" s="18"/>
      <c r="R10" s="18"/>
      <c r="S10" s="18"/>
      <c r="T10" s="19" t="s">
        <v>119</v>
      </c>
    </row>
    <row r="11" spans="1:20" x14ac:dyDescent="0.35">
      <c r="A11" s="17" t="s">
        <v>98</v>
      </c>
      <c r="B11" s="18" t="s">
        <v>40</v>
      </c>
      <c r="C11" s="18">
        <v>100</v>
      </c>
      <c r="D11" s="18"/>
      <c r="E11" s="18"/>
      <c r="F11" s="18" t="s">
        <v>36</v>
      </c>
      <c r="G11" s="18" t="s">
        <v>35</v>
      </c>
      <c r="H11" s="18" t="s">
        <v>36</v>
      </c>
      <c r="I11" s="18" t="s">
        <v>36</v>
      </c>
      <c r="J11" s="18"/>
      <c r="K11" s="18"/>
      <c r="L11" s="18" t="s">
        <v>36</v>
      </c>
      <c r="M11" s="18"/>
      <c r="N11" s="18" t="s">
        <v>36</v>
      </c>
      <c r="O11" s="18"/>
      <c r="P11" s="18" t="s">
        <v>36</v>
      </c>
      <c r="Q11" s="18"/>
      <c r="R11" s="18"/>
      <c r="S11" s="18"/>
      <c r="T11" s="19" t="s">
        <v>120</v>
      </c>
    </row>
    <row r="12" spans="1:20" x14ac:dyDescent="0.35">
      <c r="A12" s="17" t="s">
        <v>99</v>
      </c>
      <c r="B12" s="18" t="s">
        <v>40</v>
      </c>
      <c r="C12" s="18">
        <v>50</v>
      </c>
      <c r="D12" s="18"/>
      <c r="E12" s="18"/>
      <c r="F12" s="18" t="s">
        <v>36</v>
      </c>
      <c r="G12" s="18" t="s">
        <v>36</v>
      </c>
      <c r="H12" s="18" t="s">
        <v>36</v>
      </c>
      <c r="I12" s="18" t="s">
        <v>36</v>
      </c>
      <c r="J12" s="18"/>
      <c r="K12" s="18"/>
      <c r="L12" s="18" t="s">
        <v>36</v>
      </c>
      <c r="M12" s="18"/>
      <c r="N12" s="18" t="s">
        <v>36</v>
      </c>
      <c r="O12" s="18"/>
      <c r="P12" s="18" t="s">
        <v>36</v>
      </c>
      <c r="Q12" s="18"/>
      <c r="R12" s="18"/>
      <c r="S12" s="18"/>
      <c r="T12" s="19" t="s">
        <v>121</v>
      </c>
    </row>
    <row r="13" spans="1:20" x14ac:dyDescent="0.35">
      <c r="A13" s="17" t="s">
        <v>100</v>
      </c>
      <c r="B13" s="18" t="s">
        <v>40</v>
      </c>
      <c r="C13" s="18">
        <v>100</v>
      </c>
      <c r="D13" s="18"/>
      <c r="E13" s="18"/>
      <c r="F13" s="18" t="s">
        <v>36</v>
      </c>
      <c r="G13" s="18" t="s">
        <v>36</v>
      </c>
      <c r="H13" s="18" t="s">
        <v>36</v>
      </c>
      <c r="I13" s="18" t="s">
        <v>36</v>
      </c>
      <c r="J13" s="18"/>
      <c r="K13" s="18"/>
      <c r="L13" s="18" t="s">
        <v>35</v>
      </c>
      <c r="M13" s="18" t="s">
        <v>101</v>
      </c>
      <c r="N13" s="18" t="s">
        <v>36</v>
      </c>
      <c r="O13" s="18"/>
      <c r="P13" s="18" t="s">
        <v>36</v>
      </c>
      <c r="Q13" s="18"/>
      <c r="R13" s="18"/>
      <c r="S13" s="18"/>
      <c r="T13" s="19" t="s">
        <v>122</v>
      </c>
    </row>
    <row r="14" spans="1:20" x14ac:dyDescent="0.35">
      <c r="A14" s="17" t="s">
        <v>102</v>
      </c>
      <c r="B14" s="18" t="s">
        <v>40</v>
      </c>
      <c r="C14" s="18">
        <v>30</v>
      </c>
      <c r="D14" s="18"/>
      <c r="E14" s="18"/>
      <c r="F14" s="18" t="s">
        <v>36</v>
      </c>
      <c r="G14" s="18" t="s">
        <v>35</v>
      </c>
      <c r="H14" s="18" t="s">
        <v>36</v>
      </c>
      <c r="I14" s="18" t="s">
        <v>36</v>
      </c>
      <c r="J14" s="18"/>
      <c r="K14" s="18"/>
      <c r="L14" s="18" t="s">
        <v>36</v>
      </c>
      <c r="M14" s="18"/>
      <c r="N14" s="18" t="s">
        <v>36</v>
      </c>
      <c r="O14" s="18"/>
      <c r="P14" s="18" t="s">
        <v>36</v>
      </c>
      <c r="Q14" s="18"/>
      <c r="R14" s="18"/>
      <c r="S14" s="18"/>
      <c r="T14" s="19" t="s">
        <v>123</v>
      </c>
    </row>
  </sheetData>
  <mergeCells count="18">
    <mergeCell ref="N5:O5"/>
    <mergeCell ref="P5:R5"/>
    <mergeCell ref="S5:S6"/>
    <mergeCell ref="T5:T6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</mergeCells>
  <hyperlinks>
    <hyperlink ref="A1" location="Clases!A1" display="&lt;-Volver al inicio" xr:uid="{00000000-0004-0000-0900-000000000000}"/>
  </hyperlinks>
  <pageMargins left="0.7" right="0.7" top="0.75" bottom="0.7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MER</vt:lpstr>
      <vt:lpstr>Entidades</vt:lpstr>
      <vt:lpstr>usuarios</vt:lpstr>
      <vt:lpstr>Valores</vt:lpstr>
      <vt:lpstr>productos</vt:lpstr>
      <vt:lpstr>bodegas</vt:lpstr>
      <vt:lpstr>clientes</vt:lpstr>
      <vt:lpstr>pedidos</vt:lpstr>
      <vt:lpstr>envios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dc:description/>
  <cp:lastModifiedBy>Alejandro Castano Acosta</cp:lastModifiedBy>
  <cp:revision>0</cp:revision>
  <dcterms:created xsi:type="dcterms:W3CDTF">2023-03-29T19:04:22Z</dcterms:created>
  <dcterms:modified xsi:type="dcterms:W3CDTF">2026-09-25T20:01:46Z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0x0101006E8F91A2BEED3A43B860CAD7695F310A</vt:lpwstr>
  </property>
  <property fmtid="{D5CDD505-2E9C-101B-9397-08002B2CF9AE}" pid="3" name="MSIP_Label_86cab09b-e61a-4c01-96e7-67fc9e3d8cd5_ActionId">
    <vt:lpwstr>0c313e8a-0cbc-47b0-90bf-fa4503b785f4</vt:lpwstr>
  </property>
  <property fmtid="{D5CDD505-2E9C-101B-9397-08002B2CF9AE}" pid="4" name="MSIP_Label_86cab09b-e61a-4c01-96e7-67fc9e3d8cd5_ContentBits">
    <vt:lpwstr>8</vt:lpwstr>
  </property>
  <property fmtid="{D5CDD505-2E9C-101B-9397-08002B2CF9AE}" pid="5" name="MSIP_Label_86cab09b-e61a-4c01-96e7-67fc9e3d8cd5_Enabled">
    <vt:lpwstr>true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etDate">
    <vt:lpwstr>2023-03-29T20:40:24Z</vt:lpwstr>
  </property>
  <property fmtid="{D5CDD505-2E9C-101B-9397-08002B2CF9AE}" pid="9" name="MSIP_Label_86cab09b-e61a-4c01-96e7-67fc9e3d8cd5_SiteId">
    <vt:lpwstr>bf1ce8b5-5d39-4bc5-ad6e-07b3e4d7d67a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SV_QUERY_LIST_4F35BF76-6C0D-4D9B-82B2-816C12CF3733">
    <vt:lpwstr>empty_477D106A-C0D6-4607-AEBD-E2C9D60EA279</vt:lpwstr>
  </property>
</Properties>
</file>